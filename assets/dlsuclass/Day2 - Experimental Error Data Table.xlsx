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cc88a9f64b2483e/BACKUP/(2) SCHOOL/(1) DLSU/1 CLASSES/(8) AY2024-24 3rd Term/LBYPH1A/(2) Modules/"/>
    </mc:Choice>
  </mc:AlternateContent>
  <xr:revisionPtr revIDLastSave="33" documentId="13_ncr:1_{C5D722C9-1566-4567-AA55-CB8ABCEF2333}" xr6:coauthVersionLast="47" xr6:coauthVersionMax="47" xr10:uidLastSave="{92D97FFA-FF28-4E2B-8773-CD03B7A2825A}"/>
  <bookViews>
    <workbookView xWindow="-108" yWindow="-108" windowWidth="23256" windowHeight="12456" xr2:uid="{00000000-000D-0000-FFFF-FFFF00000000}"/>
  </bookViews>
  <sheets>
    <sheet name="Data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0" l="1"/>
  <c r="D17" i="10"/>
  <c r="D16" i="10"/>
  <c r="D13" i="10"/>
  <c r="D12" i="10"/>
  <c r="C10" i="10" s="1"/>
  <c r="D10" i="10" s="1"/>
  <c r="C8" i="10" l="1"/>
  <c r="D8" i="10" s="1"/>
  <c r="D14" i="10"/>
  <c r="C9" i="10"/>
  <c r="D9" i="10" s="1"/>
  <c r="C7" i="10"/>
  <c r="D7" i="10" s="1"/>
  <c r="C6" i="10"/>
  <c r="D15" i="10" l="1"/>
  <c r="D6" i="10"/>
</calcChain>
</file>

<file path=xl/sharedStrings.xml><?xml version="1.0" encoding="utf-8"?>
<sst xmlns="http://schemas.openxmlformats.org/spreadsheetml/2006/main" count="24" uniqueCount="24">
  <si>
    <t>Trial</t>
  </si>
  <si>
    <t>Time of Fall</t>
  </si>
  <si>
    <t>Deviation</t>
  </si>
  <si>
    <t>Percentage Deviation</t>
  </si>
  <si>
    <t>Average or Mean of time of fall</t>
  </si>
  <si>
    <t>Theoretical Value of time of fall</t>
  </si>
  <si>
    <t>Percentage Error</t>
  </si>
  <si>
    <t>Average deviation</t>
  </si>
  <si>
    <t>Variance</t>
  </si>
  <si>
    <t>Standard Deviation</t>
  </si>
  <si>
    <t>=average(B2:B6)</t>
  </si>
  <si>
    <t>in meter</t>
  </si>
  <si>
    <t>in cm</t>
  </si>
  <si>
    <t>=SQRT((2*E16)/9.8)</t>
  </si>
  <si>
    <t>=ABS(D8-D9)/D9*100</t>
  </si>
  <si>
    <t>formula for deviation =ABS(B2-$D$8)</t>
  </si>
  <si>
    <t>=AVERAGE(C2:C6)</t>
  </si>
  <si>
    <t>formula for percentage deviation =deviation/average x 100%</t>
  </si>
  <si>
    <t>Percentage Error = |Theore - Average| / Theore x 100%</t>
  </si>
  <si>
    <t>=VAR.P(B2:B6)</t>
  </si>
  <si>
    <t>=STDEV.P(B2:B6)</t>
  </si>
  <si>
    <t>=C4/$D$8*100</t>
  </si>
  <si>
    <t>Instructions:</t>
  </si>
  <si>
    <t>Encode the time of fall in seconds for all the five trials at columns B6:10. Type the height of the fal l in centimer at cell 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</si>
</sst>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quotePrefix="1"/>
    <xf numFmtId="2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0" borderId="0" xfId="0" applyFont="1"/>
    <xf numFmtId="0" fontId="0" fillId="0" borderId="1" xfId="0" applyBorder="1" applyAlignment="1">
      <alignment horizontal="center"/>
    </xf>
    <xf numFmtId="164" fontId="0" fillId="2" borderId="1" xfId="0" applyNumberFormat="1" applyFill="1" applyBorder="1"/>
    <xf numFmtId="164" fontId="0" fillId="3" borderId="1" xfId="0" applyNumberFormat="1" applyFill="1" applyBorder="1"/>
    <xf numFmtId="0" fontId="0" fillId="2" borderId="1" xfId="0" applyFill="1" applyBorder="1" applyAlignment="1">
      <alignment horizontal="right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23896</xdr:colOff>
      <xdr:row>9</xdr:row>
      <xdr:rowOff>2656</xdr:rowOff>
    </xdr:from>
    <xdr:to>
      <xdr:col>7</xdr:col>
      <xdr:colOff>366822</xdr:colOff>
      <xdr:row>12</xdr:row>
      <xdr:rowOff>158129</xdr:rowOff>
    </xdr:to>
    <xdr:pic>
      <xdr:nvPicPr>
        <xdr:cNvPr id="2" name="Picture 1" descr="A black and white math equation&#10;&#10;Description automatically generated with medium confidence">
          <a:extLst>
            <a:ext uri="{FF2B5EF4-FFF2-40B4-BE49-F238E27FC236}">
              <a16:creationId xmlns:a16="http://schemas.microsoft.com/office/drawing/2014/main" id="{2E13B13F-BE57-F1D7-43A1-54CC9AB7D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2676" y="931924"/>
          <a:ext cx="996069" cy="713033"/>
        </a:xfrm>
        <a:prstGeom prst="rect">
          <a:avLst/>
        </a:prstGeom>
      </xdr:spPr>
    </xdr:pic>
    <xdr:clientData/>
  </xdr:twoCellAnchor>
  <xdr:twoCellAnchor editAs="oneCell">
    <xdr:from>
      <xdr:col>6</xdr:col>
      <xdr:colOff>30050</xdr:colOff>
      <xdr:row>13</xdr:row>
      <xdr:rowOff>31083</xdr:rowOff>
    </xdr:from>
    <xdr:to>
      <xdr:col>9</xdr:col>
      <xdr:colOff>184545</xdr:colOff>
      <xdr:row>14</xdr:row>
      <xdr:rowOff>114167</xdr:rowOff>
    </xdr:to>
    <xdr:pic>
      <xdr:nvPicPr>
        <xdr:cNvPr id="3" name="Picture 2" descr="A black and orange text&#10;&#10;Description automatically generated">
          <a:extLst>
            <a:ext uri="{FF2B5EF4-FFF2-40B4-BE49-F238E27FC236}">
              <a16:creationId xmlns:a16="http://schemas.microsoft.com/office/drawing/2014/main" id="{FBCD1E4E-A22A-79EC-391A-9F9BF8ACA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8830" y="1703766"/>
          <a:ext cx="2113924" cy="268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5062-E833-4602-A47F-98E1EA87200B}">
  <dimension ref="A1:G20"/>
  <sheetViews>
    <sheetView tabSelected="1" zoomScale="130" zoomScaleNormal="130" workbookViewId="0">
      <selection activeCell="I19" sqref="I19"/>
    </sheetView>
  </sheetViews>
  <sheetFormatPr defaultRowHeight="14.4" x14ac:dyDescent="0.3"/>
  <cols>
    <col min="2" max="2" width="10.5546875" bestFit="1" customWidth="1"/>
    <col min="4" max="4" width="19" bestFit="1" customWidth="1"/>
    <col min="5" max="5" width="9.77734375" customWidth="1"/>
  </cols>
  <sheetData>
    <row r="1" spans="1:7" x14ac:dyDescent="0.3">
      <c r="A1" t="s">
        <v>22</v>
      </c>
    </row>
    <row r="2" spans="1:7" x14ac:dyDescent="0.3">
      <c r="A2" t="s">
        <v>23</v>
      </c>
    </row>
    <row r="5" spans="1:7" x14ac:dyDescent="0.3">
      <c r="A5" s="1" t="s">
        <v>0</v>
      </c>
      <c r="B5" s="1" t="s">
        <v>1</v>
      </c>
      <c r="C5" s="1" t="s">
        <v>2</v>
      </c>
      <c r="D5" s="1" t="s">
        <v>3</v>
      </c>
    </row>
    <row r="6" spans="1:7" x14ac:dyDescent="0.3">
      <c r="A6" s="1">
        <v>1</v>
      </c>
      <c r="B6" s="8"/>
      <c r="C6" s="5" t="str">
        <f>IFERROR(ABS(B6-$D$12),"")</f>
        <v/>
      </c>
      <c r="D6" s="5" t="str">
        <f>IFERROR(C6/$D$12*100,"")</f>
        <v/>
      </c>
      <c r="E6" s="2" t="s">
        <v>15</v>
      </c>
    </row>
    <row r="7" spans="1:7" x14ac:dyDescent="0.3">
      <c r="A7" s="1">
        <v>2</v>
      </c>
      <c r="B7" s="8"/>
      <c r="C7" s="5" t="str">
        <f t="shared" ref="C7:C10" si="0">IFERROR(ABS(B7-$D$12),"")</f>
        <v/>
      </c>
      <c r="D7" s="5" t="str">
        <f t="shared" ref="D7:D10" si="1">IFERROR(C7/$D$12*100,"")</f>
        <v/>
      </c>
      <c r="E7" t="s">
        <v>17</v>
      </c>
    </row>
    <row r="8" spans="1:7" x14ac:dyDescent="0.3">
      <c r="A8" s="1">
        <v>3</v>
      </c>
      <c r="B8" s="8"/>
      <c r="C8" s="5" t="str">
        <f t="shared" si="0"/>
        <v/>
      </c>
      <c r="D8" s="5" t="str">
        <f t="shared" si="1"/>
        <v/>
      </c>
      <c r="E8" s="2" t="s">
        <v>21</v>
      </c>
    </row>
    <row r="9" spans="1:7" x14ac:dyDescent="0.3">
      <c r="A9" s="1">
        <v>4</v>
      </c>
      <c r="B9" s="8"/>
      <c r="C9" s="5" t="str">
        <f t="shared" si="0"/>
        <v/>
      </c>
      <c r="D9" s="5" t="str">
        <f t="shared" si="1"/>
        <v/>
      </c>
    </row>
    <row r="10" spans="1:7" x14ac:dyDescent="0.3">
      <c r="A10" s="1">
        <v>5</v>
      </c>
      <c r="B10" s="8"/>
      <c r="C10" s="5" t="str">
        <f t="shared" si="0"/>
        <v/>
      </c>
      <c r="D10" s="5" t="str">
        <f t="shared" si="1"/>
        <v/>
      </c>
    </row>
    <row r="12" spans="1:7" x14ac:dyDescent="0.3">
      <c r="A12" s="7" t="s">
        <v>4</v>
      </c>
      <c r="B12" s="7"/>
      <c r="C12" s="7"/>
      <c r="D12" s="5" t="e">
        <f>AVERAGE(B6:B10)</f>
        <v>#DIV/0!</v>
      </c>
      <c r="E12" s="2" t="s">
        <v>10</v>
      </c>
    </row>
    <row r="13" spans="1:7" x14ac:dyDescent="0.3">
      <c r="A13" s="7" t="s">
        <v>5</v>
      </c>
      <c r="B13" s="7"/>
      <c r="C13" s="7"/>
      <c r="D13" s="11">
        <f>IFERROR(SQRT((2*E20)/9.8),"")</f>
        <v>0</v>
      </c>
      <c r="E13" s="2" t="s">
        <v>13</v>
      </c>
    </row>
    <row r="14" spans="1:7" x14ac:dyDescent="0.3">
      <c r="A14" s="7" t="s">
        <v>6</v>
      </c>
      <c r="B14" s="7"/>
      <c r="C14" s="7"/>
      <c r="D14" s="9" t="str">
        <f>IFERROR(ABS(D12-D13)/D13*100,"")</f>
        <v/>
      </c>
      <c r="E14" s="2" t="s">
        <v>14</v>
      </c>
    </row>
    <row r="15" spans="1:7" x14ac:dyDescent="0.3">
      <c r="A15" s="7" t="s">
        <v>7</v>
      </c>
      <c r="B15" s="7"/>
      <c r="C15" s="7"/>
      <c r="D15" s="5" t="str">
        <f>IFERROR(AVERAGE(C6:C10),"")</f>
        <v/>
      </c>
      <c r="E15" s="2" t="s">
        <v>16</v>
      </c>
    </row>
    <row r="16" spans="1:7" x14ac:dyDescent="0.3">
      <c r="A16" s="7" t="s">
        <v>8</v>
      </c>
      <c r="B16" s="7"/>
      <c r="C16" s="7"/>
      <c r="D16" s="5" t="str">
        <f>IFERROR(_xlfn.VAR.P(B6:B10),"")</f>
        <v/>
      </c>
      <c r="E16" s="2" t="s">
        <v>19</v>
      </c>
      <c r="G16" s="6" t="s">
        <v>18</v>
      </c>
    </row>
    <row r="17" spans="1:5" x14ac:dyDescent="0.3">
      <c r="A17" s="7" t="s">
        <v>9</v>
      </c>
      <c r="B17" s="7"/>
      <c r="C17" s="7"/>
      <c r="D17" s="5" t="str">
        <f>IFERROR(_xlfn.STDEV.P(B6:B10),"")</f>
        <v/>
      </c>
      <c r="E17" s="2" t="s">
        <v>20</v>
      </c>
    </row>
    <row r="18" spans="1:5" ht="8.1" customHeight="1" x14ac:dyDescent="0.3">
      <c r="A18" s="4"/>
      <c r="B18" s="4"/>
      <c r="C18" s="4"/>
    </row>
    <row r="19" spans="1:5" x14ac:dyDescent="0.3">
      <c r="D19" t="s">
        <v>12</v>
      </c>
      <c r="E19" t="s">
        <v>11</v>
      </c>
    </row>
    <row r="20" spans="1:5" x14ac:dyDescent="0.3">
      <c r="A20" s="7">
        <v>0</v>
      </c>
      <c r="B20" s="7"/>
      <c r="C20" s="7"/>
      <c r="D20" s="10"/>
      <c r="E20" s="3">
        <f>IFERROR(D20/100,"")</f>
        <v>0</v>
      </c>
    </row>
  </sheetData>
  <mergeCells count="7">
    <mergeCell ref="A20:C20"/>
    <mergeCell ref="A12:C12"/>
    <mergeCell ref="A13:C13"/>
    <mergeCell ref="A14:C14"/>
    <mergeCell ref="A15:C15"/>
    <mergeCell ref="A16:C16"/>
    <mergeCell ref="A17:C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Salveo Olarve</dc:creator>
  <cp:lastModifiedBy>James Salveo Olarve</cp:lastModifiedBy>
  <dcterms:created xsi:type="dcterms:W3CDTF">2015-06-05T18:17:20Z</dcterms:created>
  <dcterms:modified xsi:type="dcterms:W3CDTF">2025-05-05T04:13:59Z</dcterms:modified>
</cp:coreProperties>
</file>